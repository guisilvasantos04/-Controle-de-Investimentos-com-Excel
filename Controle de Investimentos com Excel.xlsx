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41fae811106d78/Documentos/meus documentos/Projetos_DIO_curso/"/>
    </mc:Choice>
  </mc:AlternateContent>
  <xr:revisionPtr revIDLastSave="719" documentId="8_{58DDDCF5-6805-4656-9DCA-34FA99BB69A9}" xr6:coauthVersionLast="47" xr6:coauthVersionMax="47" xr10:uidLastSave="{A65B6B06-E9CD-4E9F-8377-D4EC1497A679}"/>
  <bookViews>
    <workbookView xWindow="-120" yWindow="-120" windowWidth="29040" windowHeight="15720" xr2:uid="{E5FB6006-ECE0-4F7F-8B8E-03EDEBC07A48}"/>
  </bookViews>
  <sheets>
    <sheet name="INVESTIMENTO" sheetId="4" r:id="rId1"/>
    <sheet name="ideias " sheetId="3" r:id="rId2"/>
  </sheets>
  <definedNames>
    <definedName name="aporte">#REF!</definedName>
    <definedName name="Axis14_taxa">INVESTIMENTO!$G$16</definedName>
    <definedName name="investimento_30">INVESTIMENTO!$G$22</definedName>
    <definedName name="patrimonio">#REF!</definedName>
    <definedName name="qtd_anos">#REF!</definedName>
    <definedName name="Rendimento_Carteira">INVESTIMENTO!$G$21</definedName>
    <definedName name="salario">INVESTIMENTO!$G$20</definedName>
    <definedName name="taxa_mens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4" l="1"/>
  <c r="G49" i="4"/>
  <c r="G50" i="4"/>
  <c r="G51" i="4"/>
  <c r="G52" i="4"/>
  <c r="G47" i="4"/>
  <c r="A9" i="3"/>
  <c r="A10" i="3"/>
  <c r="A11" i="3"/>
  <c r="A12" i="3"/>
  <c r="A13" i="3"/>
  <c r="A14" i="3"/>
  <c r="A15" i="3"/>
  <c r="A16" i="3"/>
  <c r="A17" i="3"/>
  <c r="A18" i="3"/>
  <c r="A19" i="3"/>
  <c r="A20" i="3"/>
  <c r="A4" i="3"/>
  <c r="A5" i="3"/>
  <c r="A6" i="3"/>
  <c r="A7" i="3"/>
  <c r="A8" i="3"/>
  <c r="A3" i="3"/>
  <c r="H44" i="4"/>
  <c r="G22" i="4"/>
  <c r="G29" i="4"/>
  <c r="G30" i="4" s="1"/>
  <c r="G21" i="4"/>
  <c r="H48" i="4" l="1"/>
  <c r="H49" i="4"/>
  <c r="H50" i="4"/>
  <c r="H51" i="4"/>
  <c r="H52" i="4"/>
  <c r="H47" i="4"/>
  <c r="H53" i="4" s="1"/>
  <c r="G32" i="4"/>
  <c r="G31" i="4"/>
  <c r="G37" i="4"/>
  <c r="H37" i="4" s="1"/>
  <c r="G38" i="4"/>
  <c r="H38" i="4" s="1"/>
  <c r="G39" i="4"/>
  <c r="H39" i="4" s="1"/>
  <c r="G40" i="4"/>
  <c r="H40" i="4" s="1"/>
  <c r="G36" i="4"/>
  <c r="H36" i="4" s="1"/>
</calcChain>
</file>

<file path=xl/sharedStrings.xml><?xml version="1.0" encoding="utf-8"?>
<sst xmlns="http://schemas.openxmlformats.org/spreadsheetml/2006/main" count="72" uniqueCount="38">
  <si>
    <t xml:space="preserve">AXIS14 cotação </t>
  </si>
  <si>
    <t xml:space="preserve">AXIS14 taxa  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</si>
  <si>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</si>
  <si>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</si>
  <si>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</si>
  <si>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</si>
  <si>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</si>
  <si>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</si>
  <si>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cotas adquiridas  ?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</si>
  <si>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</si>
  <si>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</si>
  <si>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</si>
  <si>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</si>
  <si>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</si>
  <si>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            Patrimônio</t>
  </si>
  <si>
    <t>Salário</t>
  </si>
  <si>
    <t>Sugestão de Investimento (30%)</t>
  </si>
  <si>
    <t>%</t>
  </si>
  <si>
    <t>taxa de Rendimento Carteira</t>
  </si>
  <si>
    <t>CHAVE</t>
  </si>
  <si>
    <t>PERFIL</t>
  </si>
  <si>
    <t>TIPO DE FII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</si>
  <si>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</si>
  <si>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</si>
  <si>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</si>
  <si>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</si>
  <si>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</si>
  <si>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</si>
  <si>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</si>
  <si>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</si>
  <si>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</si>
  <si>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 xml:space="preserve">Perfil </t>
  </si>
  <si>
    <t>VALOR A SER INVESTIDO POR MÊS</t>
  </si>
  <si>
    <t>tipo de FII</t>
  </si>
  <si>
    <t>percentual Sugerido</t>
  </si>
  <si>
    <t>valores</t>
  </si>
  <si>
    <t xml:space="preserve">   Dividendo 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</si>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</sst>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4"/>
      <color theme="7" tint="0.39997558519241921"/>
      <name val="Algerian"/>
      <family val="5"/>
    </font>
    <font>
      <b/>
      <sz val="20"/>
      <color theme="7" tint="0.39997558519241921"/>
      <name val="Algerian"/>
      <family val="5"/>
    </font>
    <font>
      <sz val="11"/>
      <color theme="0"/>
      <name val="Calibri"/>
      <family val="2"/>
      <scheme val="minor"/>
    </font>
    <font>
      <b/>
      <sz val="18"/>
      <color theme="7" tint="0.39997558519241921"/>
      <name val="Algerian"/>
      <family val="5"/>
    </font>
    <font>
      <b/>
      <sz val="12"/>
      <color theme="1"/>
      <name val="Calibri"/>
      <family val="2"/>
      <scheme val="minor"/>
    </font>
    <font>
      <sz val="12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6" fillId="4" borderId="1" xfId="0" applyFont="1" applyFill="1" applyBorder="1"/>
    <xf numFmtId="164" fontId="4" fillId="2" borderId="2" xfId="0" applyNumberFormat="1" applyFont="1" applyFill="1" applyBorder="1" applyAlignment="1">
      <alignment horizontal="center"/>
    </xf>
    <xf numFmtId="10" fontId="4" fillId="2" borderId="2" xfId="0" applyNumberFormat="1" applyFont="1" applyFill="1" applyBorder="1" applyAlignment="1">
      <alignment horizontal="center"/>
    </xf>
    <xf numFmtId="8" fontId="2" fillId="2" borderId="1" xfId="1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/>
    </xf>
    <xf numFmtId="0" fontId="8" fillId="0" borderId="0" xfId="0" applyFont="1"/>
    <xf numFmtId="0" fontId="3" fillId="5" borderId="7" xfId="0" applyFont="1" applyFill="1" applyBorder="1" applyAlignment="1">
      <alignment vertical="center"/>
    </xf>
    <xf numFmtId="164" fontId="4" fillId="5" borderId="2" xfId="0" applyNumberFormat="1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8" fillId="6" borderId="0" xfId="0" applyFont="1" applyFill="1"/>
    <xf numFmtId="0" fontId="8" fillId="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0" fontId="9" fillId="4" borderId="16" xfId="0" applyFont="1" applyFill="1" applyBorder="1"/>
    <xf numFmtId="0" fontId="0" fillId="2" borderId="0" xfId="0" applyFill="1"/>
    <xf numFmtId="0" fontId="10" fillId="2" borderId="0" xfId="0" applyFont="1" applyFill="1"/>
    <xf numFmtId="164" fontId="4" fillId="2" borderId="5" xfId="0" applyNumberFormat="1" applyFont="1" applyFill="1" applyBorder="1" applyAlignment="1">
      <alignment horizontal="center"/>
    </xf>
    <xf numFmtId="9" fontId="4" fillId="2" borderId="0" xfId="0" applyNumberFormat="1" applyFont="1" applyFill="1" applyAlignment="1">
      <alignment horizontal="center"/>
    </xf>
    <xf numFmtId="0" fontId="3" fillId="5" borderId="17" xfId="0" applyFont="1" applyFill="1" applyBorder="1" applyAlignment="1">
      <alignment vertical="center"/>
    </xf>
    <xf numFmtId="164" fontId="4" fillId="5" borderId="18" xfId="0" applyNumberFormat="1" applyFont="1" applyFill="1" applyBorder="1" applyAlignment="1">
      <alignment horizontal="center"/>
    </xf>
    <xf numFmtId="0" fontId="7" fillId="4" borderId="14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164" fontId="4" fillId="5" borderId="21" xfId="0" applyNumberFormat="1" applyFont="1" applyFill="1" applyBorder="1" applyAlignment="1">
      <alignment horizontal="center"/>
    </xf>
    <xf numFmtId="164" fontId="4" fillId="5" borderId="22" xfId="0" applyNumberFormat="1" applyFont="1" applyFill="1" applyBorder="1" applyAlignment="1">
      <alignment horizont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7" fillId="4" borderId="16" xfId="0" applyFont="1" applyFill="1" applyBorder="1"/>
    <xf numFmtId="0" fontId="5" fillId="8" borderId="0" xfId="0" applyFont="1" applyFill="1" applyAlignment="1">
      <alignment horizontal="center"/>
    </xf>
    <xf numFmtId="164" fontId="5" fillId="8" borderId="0" xfId="0" applyNumberFormat="1" applyFont="1" applyFill="1" applyAlignment="1">
      <alignment horizontal="center"/>
    </xf>
    <xf numFmtId="164" fontId="4" fillId="5" borderId="23" xfId="0" applyNumberFormat="1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0" fontId="4" fillId="2" borderId="26" xfId="0" applyNumberFormat="1" applyFont="1" applyFill="1" applyBorder="1" applyAlignment="1">
      <alignment horizontal="center"/>
    </xf>
    <xf numFmtId="10" fontId="4" fillId="2" borderId="2" xfId="0" applyNumberFormat="1" applyFont="1" applyFill="1" applyBorder="1" applyAlignment="1">
      <alignment horizontal="center"/>
    </xf>
    <xf numFmtId="8" fontId="4" fillId="3" borderId="26" xfId="0" applyNumberFormat="1" applyFont="1" applyFill="1" applyBorder="1" applyAlignment="1">
      <alignment horizontal="center"/>
    </xf>
    <xf numFmtId="8" fontId="4" fillId="3" borderId="2" xfId="0" applyNumberFormat="1" applyFont="1" applyFill="1" applyBorder="1" applyAlignment="1">
      <alignment horizontal="center"/>
    </xf>
    <xf numFmtId="2" fontId="4" fillId="3" borderId="27" xfId="0" applyNumberFormat="1" applyFont="1" applyFill="1" applyBorder="1" applyAlignment="1">
      <alignment horizontal="center"/>
    </xf>
    <xf numFmtId="2" fontId="4" fillId="3" borderId="3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3" fillId="5" borderId="9" xfId="0" applyFont="1" applyFill="1" applyBorder="1" applyAlignment="1">
      <alignment vertical="center"/>
    </xf>
    <xf numFmtId="0" fontId="3" fillId="5" borderId="23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5" fillId="3" borderId="26" xfId="0" applyFont="1" applyFill="1" applyBorder="1" applyAlignment="1">
      <alignment vertical="center"/>
    </xf>
    <xf numFmtId="0" fontId="5" fillId="3" borderId="20" xfId="0" applyFont="1" applyFill="1" applyBorder="1" applyAlignment="1">
      <alignment vertical="center"/>
    </xf>
    <xf numFmtId="0" fontId="5" fillId="3" borderId="27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164" fontId="4" fillId="2" borderId="28" xfId="0" applyNumberFormat="1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1"/>
          <c:tx>
            <c:strRef>
              <c:f>INVESTIMENTO!$G$46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INVESTIMENTO!$E$47:$E$52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INVESTIMENTO!$G$47:$G$52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A-4D26-91F1-9A1676075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INVESTIMENTO!$F$46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INVESTIMENTO!$E$47:$E$52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INVESTIMENTO!$F$47:$F$52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CEA-4D26-91F1-9A16760758C9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247650</xdr:colOff>
      <xdr:row>1</xdr:row>
      <xdr:rowOff>28575</xdr:rowOff>
    </xdr:from>
    <xdr:to>
      <xdr:col>6</xdr:col>
      <xdr:colOff>1419225</xdr:colOff>
      <xdr:row>11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FE4418-446F-497F-A10B-E60C5E6440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3" t="1377" r="69" b="353"/>
        <a:stretch>
          <a:fillRect/>
        </a:stretch>
      </xdr:blipFill>
      <xdr:spPr>
        <a:xfrm>
          <a:off x="590550" y="219075"/>
          <a:ext cx="3571875" cy="2038350"/>
        </a:xfrm>
        <a:prstGeom prst="rect">
          <a:avLst/>
        </a:prstGeom>
      </xdr:spPr>
    </xdr:pic>
    <xdr:clientData/>
  </xdr:twoCellAnchor>
  <xdr:twoCellAnchor>
    <xdr:from>
      <xdr:col>4</xdr:col>
      <xdr:colOff>904875</xdr:colOff>
      <xdr:row>53</xdr:row>
      <xdr:rowOff>80962</xdr:rowOff>
    </xdr:from>
    <xdr:to>
      <xdr:col>7</xdr:col>
      <xdr:colOff>819150</xdr:colOff>
      <xdr:row>67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9490ED-BF6D-D62B-2620-B29DF2C36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609C-B673-4FE6-981F-5F0845138B20}">
  <dimension ref="C14:XFD53"/>
  <sheetViews>
    <sheetView showGridLines="0" tabSelected="1" topLeftCell="D1" workbookViewId="0">
      <selection activeCell="H16" sqref="H16"/>
    </sheetView>
  </sheetViews>
  <sheetFormatPr defaultColWidth="0" defaultRowHeight="15" x14ac:dyDescent="0.25"/>
  <cols>
    <col min="1" max="2" width="9.140625" hidden="1" customWidth="1"/>
    <col min="3" max="3" width="11.85546875" hidden="1" customWidth="1"/>
    <col min="4" max="4" width="5.140625" customWidth="1"/>
    <col min="5" max="5" width="26.85546875" customWidth="1"/>
    <col min="6" max="6" width="9.140625" customWidth="1"/>
    <col min="7" max="7" width="29.5703125" customWidth="1"/>
    <col min="8" max="8" width="27" bestFit="1" customWidth="1"/>
    <col min="9" max="16383" width="9.140625" hidden="1"/>
    <col min="16384" max="16384" width="1.85546875" customWidth="1"/>
  </cols>
  <sheetData>
    <row r="14" spans="5:7" ht="15.75" thickBot="1" x14ac:dyDescent="0.3"/>
    <row r="15" spans="5:7" ht="20.25" thickBot="1" x14ac:dyDescent="0.35">
      <c r="E15" s="1" t="s">
        <v>0</v>
      </c>
      <c r="G15" s="1" t="s">
        <v>1</v>
      </c>
    </row>
    <row r="16" spans="5:7" ht="21.75" thickBot="1" x14ac:dyDescent="0.4">
      <c r="E16" s="4">
        <v>5</v>
      </c>
      <c r="G16" s="5">
        <v>1.0789999999999999E-2</v>
      </c>
    </row>
    <row r="18" spans="4:8" ht="15.75" thickBot="1" x14ac:dyDescent="0.3"/>
    <row r="19" spans="4:8" ht="28.5" x14ac:dyDescent="0.45">
      <c r="E19" s="63" t="s">
        <v>2</v>
      </c>
      <c r="F19" s="64"/>
      <c r="G19" s="65"/>
    </row>
    <row r="20" spans="4:8" ht="17.25" x14ac:dyDescent="0.3">
      <c r="E20" s="66" t="s">
        <v>15</v>
      </c>
      <c r="F20" s="67"/>
      <c r="G20" s="9">
        <v>5000</v>
      </c>
    </row>
    <row r="21" spans="4:8" ht="17.25" x14ac:dyDescent="0.3">
      <c r="E21" s="66" t="s">
        <v>18</v>
      </c>
      <c r="F21" s="67"/>
      <c r="G21" s="3">
        <f>Axis14_taxa</f>
        <v>1.0789999999999999E-2</v>
      </c>
    </row>
    <row r="22" spans="4:8" ht="17.25" x14ac:dyDescent="0.3">
      <c r="E22" s="66" t="s">
        <v>16</v>
      </c>
      <c r="F22" s="67"/>
      <c r="G22" s="2">
        <f>salario*30%</f>
        <v>1500</v>
      </c>
    </row>
    <row r="25" spans="4:8" ht="15.75" thickBot="1" x14ac:dyDescent="0.3"/>
    <row r="26" spans="4:8" ht="29.25" thickBot="1" x14ac:dyDescent="0.5">
      <c r="E26" s="68" t="s">
        <v>2</v>
      </c>
      <c r="F26" s="69"/>
      <c r="G26" s="69"/>
      <c r="H26" s="70"/>
    </row>
    <row r="27" spans="4:8" ht="17.25" x14ac:dyDescent="0.3">
      <c r="E27" s="61" t="s">
        <v>3</v>
      </c>
      <c r="F27" s="62"/>
      <c r="G27" s="71">
        <v>1260</v>
      </c>
      <c r="H27" s="72"/>
    </row>
    <row r="28" spans="4:8" ht="17.25" x14ac:dyDescent="0.3">
      <c r="D28" s="6">
        <v>2</v>
      </c>
      <c r="E28" s="59" t="s">
        <v>4</v>
      </c>
      <c r="F28" s="60"/>
      <c r="G28" s="39">
        <v>5</v>
      </c>
      <c r="H28" s="40"/>
    </row>
    <row r="29" spans="4:8" ht="17.25" x14ac:dyDescent="0.3">
      <c r="D29" s="6">
        <v>5</v>
      </c>
      <c r="E29" s="59" t="s">
        <v>5</v>
      </c>
      <c r="F29" s="60"/>
      <c r="G29" s="41">
        <f>Axis14_taxa</f>
        <v>1.0789999999999999E-2</v>
      </c>
      <c r="H29" s="42"/>
    </row>
    <row r="30" spans="4:8" ht="17.25" x14ac:dyDescent="0.3">
      <c r="D30" s="6">
        <v>10</v>
      </c>
      <c r="E30" s="55" t="s">
        <v>6</v>
      </c>
      <c r="F30" s="56"/>
      <c r="G30" s="43">
        <f>FV(G29,G28*12,G27*-1)</f>
        <v>105558.91163809443</v>
      </c>
      <c r="H30" s="44"/>
    </row>
    <row r="31" spans="4:8" ht="17.25" x14ac:dyDescent="0.3">
      <c r="D31" s="6">
        <v>20</v>
      </c>
      <c r="E31" s="55" t="s">
        <v>7</v>
      </c>
      <c r="F31" s="56"/>
      <c r="G31" s="43">
        <f>G30*G29</f>
        <v>1138.9806565750389</v>
      </c>
      <c r="H31" s="44"/>
    </row>
    <row r="32" spans="4:8" ht="18" thickBot="1" x14ac:dyDescent="0.35">
      <c r="D32" s="6">
        <v>30</v>
      </c>
      <c r="E32" s="57" t="s">
        <v>8</v>
      </c>
      <c r="F32" s="58"/>
      <c r="G32" s="45">
        <f>G30/E16</f>
        <v>21111.782327618886</v>
      </c>
      <c r="H32" s="46"/>
    </row>
    <row r="34" spans="5:8" ht="15.75" thickBot="1" x14ac:dyDescent="0.3"/>
    <row r="35" spans="5:8" ht="29.25" thickBot="1" x14ac:dyDescent="0.5">
      <c r="E35" s="29" t="s">
        <v>14</v>
      </c>
      <c r="F35" s="29"/>
      <c r="G35" s="28"/>
      <c r="H35" s="34" t="s">
        <v>36</v>
      </c>
    </row>
    <row r="36" spans="5:8" ht="17.25" x14ac:dyDescent="0.3">
      <c r="E36" s="26" t="s">
        <v>9</v>
      </c>
      <c r="F36" s="32"/>
      <c r="G36" s="30">
        <f>FV($G$29,$D28*12,$G$27*-1)</f>
        <v>34306.810395032975</v>
      </c>
      <c r="H36" s="27">
        <f>G36*$G$29</f>
        <v>370.17048416240578</v>
      </c>
    </row>
    <row r="37" spans="5:8" ht="17.25" x14ac:dyDescent="0.3">
      <c r="E37" s="7" t="s">
        <v>10</v>
      </c>
      <c r="F37" s="33"/>
      <c r="G37" s="31">
        <f>FV($G$29,$D29*12,$G$27*-1)</f>
        <v>105558.91163809443</v>
      </c>
      <c r="H37" s="8">
        <f>G37*$G$29</f>
        <v>1138.9806565750389</v>
      </c>
    </row>
    <row r="38" spans="5:8" ht="17.25" x14ac:dyDescent="0.3">
      <c r="E38" s="53" t="s">
        <v>11</v>
      </c>
      <c r="F38" s="54"/>
      <c r="G38" s="31">
        <f>FV($G$29,$D30*12,$G$27*-1)</f>
        <v>306538.10778801696</v>
      </c>
      <c r="H38" s="8">
        <f>G38*$G$29</f>
        <v>3307.5461830327026</v>
      </c>
    </row>
    <row r="39" spans="5:8" ht="17.25" x14ac:dyDescent="0.3">
      <c r="E39" s="53" t="s">
        <v>12</v>
      </c>
      <c r="F39" s="54"/>
      <c r="G39" s="31">
        <f>FV($G$29,$D31*12,$G$27*-1)</f>
        <v>1417749.9841223215</v>
      </c>
      <c r="H39" s="8">
        <f>G39*$G$29</f>
        <v>15297.522328679848</v>
      </c>
    </row>
    <row r="40" spans="5:8" ht="18" thickBot="1" x14ac:dyDescent="0.35">
      <c r="E40" s="51" t="s">
        <v>13</v>
      </c>
      <c r="F40" s="52"/>
      <c r="G40" s="37">
        <f>FV($G$29,$D32*12,$G$27*-1)</f>
        <v>5445933.7653059401</v>
      </c>
      <c r="H40" s="38">
        <f>G40*$G$29</f>
        <v>58761.625327651091</v>
      </c>
    </row>
    <row r="42" spans="5:8" ht="15.75" thickBot="1" x14ac:dyDescent="0.3"/>
    <row r="43" spans="5:8" ht="29.25" thickBot="1" x14ac:dyDescent="0.5">
      <c r="E43" s="48" t="s">
        <v>31</v>
      </c>
      <c r="F43" s="49"/>
      <c r="G43" s="49"/>
      <c r="H43" s="21" t="s">
        <v>37</v>
      </c>
    </row>
    <row r="44" spans="5:8" ht="26.25" customHeight="1" x14ac:dyDescent="0.3">
      <c r="E44" s="23" t="s">
        <v>32</v>
      </c>
      <c r="F44" s="22"/>
      <c r="G44" s="22"/>
      <c r="H44" s="24">
        <f>G27</f>
        <v>1260</v>
      </c>
    </row>
    <row r="46" spans="5:8" ht="17.25" x14ac:dyDescent="0.3">
      <c r="E46" s="50" t="s">
        <v>33</v>
      </c>
      <c r="F46" s="50"/>
      <c r="G46" s="35" t="s">
        <v>34</v>
      </c>
      <c r="H46" s="35" t="s">
        <v>35</v>
      </c>
    </row>
    <row r="47" spans="5:8" ht="16.5" x14ac:dyDescent="0.3">
      <c r="E47" s="47" t="s">
        <v>23</v>
      </c>
      <c r="F47" s="47"/>
      <c r="G47" s="25">
        <f xml:space="preserve"> VLOOKUP($H$43&amp;"-"&amp;E47,'ideias '!$A$1:$D$20,4,FALSE)</f>
        <v>0.32</v>
      </c>
      <c r="H47" s="11">
        <f>$H$44*G47</f>
        <v>403.2</v>
      </c>
    </row>
    <row r="48" spans="5:8" ht="16.5" x14ac:dyDescent="0.3">
      <c r="E48" s="47" t="s">
        <v>24</v>
      </c>
      <c r="F48" s="47"/>
      <c r="G48" s="25">
        <f xml:space="preserve"> VLOOKUP($H$43&amp;"-"&amp;E48,'ideias '!$A$1:$D$20,4,FALSE)</f>
        <v>0.35</v>
      </c>
      <c r="H48" s="11">
        <f t="shared" ref="H48:H52" si="0">$H$44*G48</f>
        <v>441</v>
      </c>
    </row>
    <row r="49" spans="5:8" ht="16.5" x14ac:dyDescent="0.3">
      <c r="E49" s="47" t="s">
        <v>25</v>
      </c>
      <c r="F49" s="47"/>
      <c r="G49" s="25">
        <f xml:space="preserve"> VLOOKUP($H$43&amp;"-"&amp;E49,'ideias '!$A$1:$D$20,4,FALSE)</f>
        <v>0.08</v>
      </c>
      <c r="H49" s="11">
        <f t="shared" si="0"/>
        <v>100.8</v>
      </c>
    </row>
    <row r="50" spans="5:8" ht="16.5" x14ac:dyDescent="0.3">
      <c r="E50" s="47" t="s">
        <v>26</v>
      </c>
      <c r="F50" s="47"/>
      <c r="G50" s="25">
        <f xml:space="preserve"> VLOOKUP($H$43&amp;"-"&amp;E50,'ideias '!$A$1:$D$20,4,FALSE)</f>
        <v>0.05</v>
      </c>
      <c r="H50" s="11">
        <f t="shared" si="0"/>
        <v>63</v>
      </c>
    </row>
    <row r="51" spans="5:8" ht="16.5" x14ac:dyDescent="0.3">
      <c r="E51" s="47" t="s">
        <v>27</v>
      </c>
      <c r="F51" s="47"/>
      <c r="G51" s="25">
        <f xml:space="preserve"> VLOOKUP($H$43&amp;"-"&amp;E51,'ideias '!$A$1:$D$20,4,FALSE)</f>
        <v>0.1</v>
      </c>
      <c r="H51" s="11">
        <f t="shared" si="0"/>
        <v>126</v>
      </c>
    </row>
    <row r="52" spans="5:8" ht="16.5" x14ac:dyDescent="0.3">
      <c r="E52" s="47" t="s">
        <v>28</v>
      </c>
      <c r="F52" s="47"/>
      <c r="G52" s="25">
        <f xml:space="preserve"> VLOOKUP($H$43&amp;"-"&amp;E52,'ideias '!$A$1:$D$20,4,FALSE)</f>
        <v>0.1</v>
      </c>
      <c r="H52" s="11">
        <f t="shared" si="0"/>
        <v>126</v>
      </c>
    </row>
    <row r="53" spans="5:8" ht="17.25" x14ac:dyDescent="0.3">
      <c r="E53" s="35"/>
      <c r="F53" s="35"/>
      <c r="G53" s="35"/>
      <c r="H53" s="36">
        <f>SUM(H47:H52)</f>
        <v>1260</v>
      </c>
    </row>
  </sheetData>
  <mergeCells count="28">
    <mergeCell ref="E27:F27"/>
    <mergeCell ref="E19:G19"/>
    <mergeCell ref="E20:F20"/>
    <mergeCell ref="E21:F21"/>
    <mergeCell ref="E22:F22"/>
    <mergeCell ref="E26:H26"/>
    <mergeCell ref="G27:H27"/>
    <mergeCell ref="E31:F31"/>
    <mergeCell ref="E32:F32"/>
    <mergeCell ref="E28:F28"/>
    <mergeCell ref="E29:F29"/>
    <mergeCell ref="E30:F30"/>
    <mergeCell ref="E52:F52"/>
    <mergeCell ref="E43:G43"/>
    <mergeCell ref="E46:F46"/>
    <mergeCell ref="E40:F40"/>
    <mergeCell ref="E38:F38"/>
    <mergeCell ref="E39:F39"/>
    <mergeCell ref="E47:F47"/>
    <mergeCell ref="E48:F48"/>
    <mergeCell ref="E49:F49"/>
    <mergeCell ref="E50:F50"/>
    <mergeCell ref="E51:F51"/>
    <mergeCell ref="G28:H28"/>
    <mergeCell ref="G29:H29"/>
    <mergeCell ref="G30:H30"/>
    <mergeCell ref="G31:H31"/>
    <mergeCell ref="G32:H32"/>
  </mergeCells>
  <dataValidations count="1">
    <dataValidation type="list" allowBlank="1" showInputMessage="1" showErrorMessage="1" sqref="H43" xr:uid="{9A999DB6-A793-4ECE-85C3-9030036F978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2C6B-EF7E-4E8C-9574-CC1D9F4DB65E}">
  <dimension ref="A2:F31"/>
  <sheetViews>
    <sheetView workbookViewId="0">
      <selection activeCell="J5" sqref="J5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</cols>
  <sheetData>
    <row r="2" spans="1:4" x14ac:dyDescent="0.25">
      <c r="A2" s="12" t="s">
        <v>19</v>
      </c>
      <c r="B2" s="12" t="s">
        <v>20</v>
      </c>
      <c r="C2" s="13" t="s">
        <v>21</v>
      </c>
      <c r="D2" s="13" t="s">
        <v>17</v>
      </c>
    </row>
    <row r="3" spans="1:4" x14ac:dyDescent="0.25">
      <c r="A3" t="str">
        <f>B3&amp;"-"&amp;C3</f>
        <v>Conservador-PAPEL</v>
      </c>
      <c r="B3" t="s">
        <v>22</v>
      </c>
      <c r="C3" s="10" t="s">
        <v>23</v>
      </c>
      <c r="D3" s="14">
        <v>0.3</v>
      </c>
    </row>
    <row r="4" spans="1:4" x14ac:dyDescent="0.25">
      <c r="A4" t="str">
        <f t="shared" ref="A4:A20" si="0">B4&amp;"-"&amp;C4</f>
        <v>Conservador-TIJOLO</v>
      </c>
      <c r="B4" t="s">
        <v>22</v>
      </c>
      <c r="C4" s="10" t="s">
        <v>24</v>
      </c>
      <c r="D4" s="14">
        <v>0.5</v>
      </c>
    </row>
    <row r="5" spans="1:4" x14ac:dyDescent="0.25">
      <c r="A5" t="str">
        <f t="shared" si="0"/>
        <v>Conservador-HÍBRIDOS</v>
      </c>
      <c r="B5" t="s">
        <v>22</v>
      </c>
      <c r="C5" s="10" t="s">
        <v>25</v>
      </c>
      <c r="D5" s="14">
        <v>0.1</v>
      </c>
    </row>
    <row r="6" spans="1:4" x14ac:dyDescent="0.25">
      <c r="A6" t="str">
        <f t="shared" si="0"/>
        <v>Conservador-FOFs</v>
      </c>
      <c r="B6" t="s">
        <v>22</v>
      </c>
      <c r="C6" s="10" t="s">
        <v>26</v>
      </c>
      <c r="D6" s="14">
        <v>0.1</v>
      </c>
    </row>
    <row r="7" spans="1:4" x14ac:dyDescent="0.25">
      <c r="A7" t="str">
        <f t="shared" si="0"/>
        <v>Conservador-DESENVOLVIMENTO</v>
      </c>
      <c r="B7" t="s">
        <v>22</v>
      </c>
      <c r="C7" s="10" t="s">
        <v>27</v>
      </c>
      <c r="D7" s="14">
        <v>0</v>
      </c>
    </row>
    <row r="8" spans="1:4" ht="15.75" thickBot="1" x14ac:dyDescent="0.3">
      <c r="A8" t="str">
        <f t="shared" si="0"/>
        <v>Conservador-HOTELARIAS</v>
      </c>
      <c r="B8" s="15" t="s">
        <v>22</v>
      </c>
      <c r="C8" s="16" t="s">
        <v>28</v>
      </c>
      <c r="D8" s="17">
        <v>0</v>
      </c>
    </row>
    <row r="9" spans="1:4" x14ac:dyDescent="0.25">
      <c r="A9" t="str">
        <f t="shared" si="0"/>
        <v>Moderado-PAPEL</v>
      </c>
      <c r="B9" t="s">
        <v>29</v>
      </c>
      <c r="C9" s="10" t="s">
        <v>23</v>
      </c>
      <c r="D9" s="14">
        <v>0.32</v>
      </c>
    </row>
    <row r="10" spans="1:4" x14ac:dyDescent="0.25">
      <c r="A10" s="18" t="str">
        <f t="shared" si="0"/>
        <v>Moderado-TIJOLO</v>
      </c>
      <c r="B10" s="18" t="s">
        <v>29</v>
      </c>
      <c r="C10" s="19" t="s">
        <v>24</v>
      </c>
      <c r="D10" s="20">
        <v>0.35</v>
      </c>
    </row>
    <row r="11" spans="1:4" x14ac:dyDescent="0.25">
      <c r="A11" t="str">
        <f t="shared" si="0"/>
        <v>Moderado-HÍBRIDOS</v>
      </c>
      <c r="B11" t="s">
        <v>29</v>
      </c>
      <c r="C11" s="10" t="s">
        <v>25</v>
      </c>
      <c r="D11" s="14">
        <v>0.08</v>
      </c>
    </row>
    <row r="12" spans="1:4" x14ac:dyDescent="0.25">
      <c r="A12" t="str">
        <f t="shared" si="0"/>
        <v>Moderado-FOFs</v>
      </c>
      <c r="B12" t="s">
        <v>29</v>
      </c>
      <c r="C12" s="10" t="s">
        <v>26</v>
      </c>
      <c r="D12" s="14">
        <v>0.05</v>
      </c>
    </row>
    <row r="13" spans="1:4" x14ac:dyDescent="0.25">
      <c r="A13" t="str">
        <f t="shared" si="0"/>
        <v>Moderado-DESENVOLVIMENTO</v>
      </c>
      <c r="B13" t="s">
        <v>29</v>
      </c>
      <c r="C13" s="10" t="s">
        <v>27</v>
      </c>
      <c r="D13" s="14">
        <v>0.1</v>
      </c>
    </row>
    <row r="14" spans="1:4" ht="15.75" thickBot="1" x14ac:dyDescent="0.3">
      <c r="A14" s="15" t="str">
        <f t="shared" si="0"/>
        <v>Moderado-HOTELARIAS</v>
      </c>
      <c r="B14" s="15" t="s">
        <v>29</v>
      </c>
      <c r="C14" s="16" t="s">
        <v>28</v>
      </c>
      <c r="D14" s="17">
        <v>0.1</v>
      </c>
    </row>
    <row r="15" spans="1:4" x14ac:dyDescent="0.25">
      <c r="A15" t="str">
        <f t="shared" si="0"/>
        <v>Agressivo-PAPEL</v>
      </c>
      <c r="B15" t="s">
        <v>30</v>
      </c>
      <c r="C15" s="10" t="s">
        <v>23</v>
      </c>
      <c r="D15" s="14">
        <v>0.5</v>
      </c>
    </row>
    <row r="16" spans="1:4" x14ac:dyDescent="0.25">
      <c r="A16" t="str">
        <f t="shared" si="0"/>
        <v>Agressivo-TIJOLO</v>
      </c>
      <c r="B16" t="s">
        <v>30</v>
      </c>
      <c r="C16" s="10" t="s">
        <v>24</v>
      </c>
      <c r="D16" s="14">
        <v>0.1</v>
      </c>
    </row>
    <row r="17" spans="1:6" x14ac:dyDescent="0.25">
      <c r="A17" t="str">
        <f t="shared" si="0"/>
        <v>Agressivo-HÍBRIDOS</v>
      </c>
      <c r="B17" t="s">
        <v>30</v>
      </c>
      <c r="C17" s="10" t="s">
        <v>25</v>
      </c>
      <c r="D17" s="14">
        <v>0.05</v>
      </c>
    </row>
    <row r="18" spans="1:6" x14ac:dyDescent="0.25">
      <c r="A18" t="str">
        <f t="shared" si="0"/>
        <v>Agressivo-FOFs</v>
      </c>
      <c r="B18" t="s">
        <v>30</v>
      </c>
      <c r="C18" s="10" t="s">
        <v>26</v>
      </c>
      <c r="D18" s="14">
        <v>0.05</v>
      </c>
    </row>
    <row r="19" spans="1:6" x14ac:dyDescent="0.25">
      <c r="A19" t="str">
        <f t="shared" si="0"/>
        <v>Agressivo-DESENVOLVIMENTO</v>
      </c>
      <c r="B19" t="s">
        <v>30</v>
      </c>
      <c r="C19" s="10" t="s">
        <v>27</v>
      </c>
      <c r="D19" s="14">
        <v>0.2</v>
      </c>
    </row>
    <row r="20" spans="1:6" x14ac:dyDescent="0.25">
      <c r="A20" t="str">
        <f t="shared" si="0"/>
        <v>Agressivo-HOTELARIAS</v>
      </c>
      <c r="B20" t="s">
        <v>30</v>
      </c>
      <c r="C20" s="10" t="s">
        <v>28</v>
      </c>
      <c r="D20" s="14">
        <v>0.1</v>
      </c>
    </row>
    <row r="26" spans="1:6" x14ac:dyDescent="0.25">
      <c r="F26" s="14"/>
    </row>
    <row r="27" spans="1:6" x14ac:dyDescent="0.25">
      <c r="F27" s="14"/>
    </row>
    <row r="28" spans="1:6" x14ac:dyDescent="0.25">
      <c r="F28" s="14"/>
    </row>
    <row r="29" spans="1:6" x14ac:dyDescent="0.25">
      <c r="F29" s="14"/>
    </row>
    <row r="30" spans="1:6" x14ac:dyDescent="0.25">
      <c r="F30" s="14"/>
    </row>
    <row r="31" spans="1:6" ht="15.75" thickBot="1" x14ac:dyDescent="0.3">
      <c r="F31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INVESTIMENTO</vt:lpstr>
      <vt:lpstr>ideias </vt:lpstr>
      <vt:lpstr>Axis14_taxa</vt:lpstr>
      <vt:lpstr>investimento_30</vt:lpstr>
      <vt:lpstr>Rendimento_Carteira</vt:lpstr>
      <vt:lpstr>salario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Da silva santos</dc:creator>
  <cp:lastModifiedBy>Guilherme Da silva santos</cp:lastModifiedBy>
  <dcterms:created xsi:type="dcterms:W3CDTF">2025-12-27T10:22:07Z</dcterms:created>
  <dcterms:modified xsi:type="dcterms:W3CDTF">2025-12-28T15:52:33Z</dcterms:modified>
</cp:coreProperties>
</file>